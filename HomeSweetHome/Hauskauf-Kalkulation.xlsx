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ingaben" state="visible" r:id="rId4"/>
    <sheet sheetId="2" name="Einnahmen" state="visible" r:id="rId5"/>
    <sheet sheetId="3" name="Ausgaben" state="visible" r:id="rId6"/>
    <sheet sheetId="4" name="Vermögen" state="visible" r:id="rId7"/>
    <sheet sheetId="5" name="Kalkulation" state="visible" r:id="rId8"/>
    <sheet sheetId="6" name="Tilgungsplan" state="visible" r:id="rId9"/>
    <sheet sheetId="7" name="Erläuterungen" state="visible" r:id="rId10"/>
  </sheets>
  <calcPr calcId="171027"/>
</workbook>
</file>

<file path=xl/sharedStrings.xml><?xml version="1.0" encoding="utf-8"?>
<sst xmlns="http://schemas.openxmlformats.org/spreadsheetml/2006/main" count="227" uniqueCount="166">
  <si>
    <t>Eingaben – Rahmendaten Hauskauf (gelbe Felder sind editierbar)</t>
  </si>
  <si>
    <t>Haus &amp; Kaufnebenkosten</t>
  </si>
  <si>
    <t>Kaufpreis Haus (noch offen – Schätzung)</t>
  </si>
  <si>
    <t>Platzhalter – sobald der Preis feststeht, hier eintragen.</t>
  </si>
  <si>
    <t>Grunderwerbsteuer (% vom Kaufpreis)</t>
  </si>
  <si>
    <t>Je nach Bundesland 3,5 % bis 6,5 %.</t>
  </si>
  <si>
    <t>Notar &amp; Grundbuch (% vom Kaufpreis)</t>
  </si>
  <si>
    <t>Üblich sind ca. 1,5 % bis 2 %.</t>
  </si>
  <si>
    <t>Maklerprovision (% vom Kaufpreis)</t>
  </si>
  <si>
    <t>Käuferanteil, oft 3,57 % inkl. MwSt.; 0 % wenn ohne Makler.</t>
  </si>
  <si>
    <t>Renovierung / Umzug / Küche (einmalig)</t>
  </si>
  <si>
    <t>Einmalige Kosten rund um den Einzug.</t>
  </si>
  <si>
    <t>Finanzierung</t>
  </si>
  <si>
    <t>Eigenkapital-Einsatz (% des einsetzbaren Vermögens)</t>
  </si>
  <si>
    <t>Wie viel des Vermögens (Blatt „Vermögen“, Spalte „einsetzbar“) fließt in den Kauf. Rest bleibt Reserve.</t>
  </si>
  <si>
    <t>Kaufjahr</t>
  </si>
  <si>
    <t>Startjahr für Tilgungsplan und „abbezahlt im Jahr“.</t>
  </si>
  <si>
    <t>Einnahmen (Zeilen 4–15 frei editierbar / ergänzbar)</t>
  </si>
  <si>
    <t>Hinweis: Netto-Beträge eintragen. „jährlich“ wird automatisch durch 12 geteilt.</t>
  </si>
  <si>
    <t>Position</t>
  </si>
  <si>
    <t>Betrag (€)</t>
  </si>
  <si>
    <t>Intervall</t>
  </si>
  <si>
    <t>pro Monat (€)</t>
  </si>
  <si>
    <t>Nettogehalt Person 1</t>
  </si>
  <si>
    <t>monatlich</t>
  </si>
  <si>
    <t>Nettogehalt Person 2</t>
  </si>
  <si>
    <t>Kindergeld</t>
  </si>
  <si>
    <t>Weihnachts-/Urlaubsgeld</t>
  </si>
  <si>
    <t>jährlich</t>
  </si>
  <si>
    <t>Steuererstattung</t>
  </si>
  <si>
    <t/>
  </si>
  <si>
    <t>Summe Einnahmen pro Monat</t>
  </si>
  <si>
    <t>Ausgaben (Zeilen 4–15 frei editierbar / ergänzbar)</t>
  </si>
  <si>
    <t>WICHTIG: Ausgaben-Situation NACH dem Kauf eintragen – also OHNE aktuelle Kaltmiete und OHNE Kreditrate (die berechnet die Kalkulation). Nebenkosten des Hauses (Strom, Heizung, Grundsteuer …) gehören hier hinein.</t>
  </si>
  <si>
    <t>Lebenshaltung (Essen, Drogerie, Kleidung)</t>
  </si>
  <si>
    <t>Strom / Heizung / Wasser (Haus)</t>
  </si>
  <si>
    <t>Auto &amp; Mobilität</t>
  </si>
  <si>
    <t>Versicherungen</t>
  </si>
  <si>
    <t>Urlaub</t>
  </si>
  <si>
    <t>Kommunikation (Handy, Internet, Streaming)</t>
  </si>
  <si>
    <t>Grundsteuer &amp; Müllgebühren</t>
  </si>
  <si>
    <t>Sonstiges / Puffer</t>
  </si>
  <si>
    <t>Summe Ausgaben pro Monat</t>
  </si>
  <si>
    <t>Vermögen (Zeilen 4–12 frei editierbar / ergänzbar)</t>
  </si>
  <si>
    <t>Nur Positionen mit „ja“ zählen als einsetzbares Eigenkapital. Notgroschen auf „nein“ setzen.</t>
  </si>
  <si>
    <t>Wert (€)</t>
  </si>
  <si>
    <t>für Hauskauf einsetzbar?</t>
  </si>
  <si>
    <t>einsetzbar (€)</t>
  </si>
  <si>
    <t>Tagesgeld</t>
  </si>
  <si>
    <t>ja</t>
  </si>
  <si>
    <t>ETF-Depot</t>
  </si>
  <si>
    <t>Bausparvertrag</t>
  </si>
  <si>
    <t>Notgroschen (bleibt unangetastet)</t>
  </si>
  <si>
    <t>nein</t>
  </si>
  <si>
    <t>Gesamtvermögen</t>
  </si>
  <si>
    <t>davon für Hauskauf einsetzbar</t>
  </si>
  <si>
    <t>Kalkulation – Was kostet der Kauf und wann ist das Haus abbezahlt?</t>
  </si>
  <si>
    <t>1) Gesamtkosten des Kaufs</t>
  </si>
  <si>
    <t>Kaufpreis</t>
  </si>
  <si>
    <t>Grunderwerbsteuer</t>
  </si>
  <si>
    <t>= Kaufpreis × Steuersatz</t>
  </si>
  <si>
    <t>Notar &amp; Grundbuch</t>
  </si>
  <si>
    <t>= Kaufpreis × Satz</t>
  </si>
  <si>
    <t>Maklerprovision</t>
  </si>
  <si>
    <t>Renovierung / Umzug / Küche</t>
  </si>
  <si>
    <t>einmalig, aus Eingaben</t>
  </si>
  <si>
    <t>Gesamtkosten</t>
  </si>
  <si>
    <t>= Kaufpreis + alle Nebenkosten + Einmalkosten</t>
  </si>
  <si>
    <t>2) Eigenkapital &amp; Darlehen</t>
  </si>
  <si>
    <t>Eigenkapital-Einsatz</t>
  </si>
  <si>
    <t>= einsetzbares Vermögen × Eigenkapital-Quote</t>
  </si>
  <si>
    <t>Darlehensbedarf</t>
  </si>
  <si>
    <t>= Gesamtkosten − Eigenkapital</t>
  </si>
  <si>
    <t>Beleihungsauslauf (Darlehen ÷ Kaufpreis)</t>
  </si>
  <si>
    <t>über ca. 90 % verlangen Banken deutliche Zinsaufschläge</t>
  </si>
  <si>
    <t>3) Monatlicher Haushalt</t>
  </si>
  <si>
    <t>Einnahmen pro Monat</t>
  </si>
  <si>
    <t>Ausgaben pro Monat (ohne Miete/Kreditrate)</t>
  </si>
  <si>
    <t>Überschuss pro Monat</t>
  </si>
  <si>
    <t>4) Szenarien – wann ist das Haus abbezahlt? (Parameter in Zeilen 23–26 editierbar)</t>
  </si>
  <si>
    <t>Szenario</t>
  </si>
  <si>
    <t>Optimistisch</t>
  </si>
  <si>
    <t>Basis</t>
  </si>
  <si>
    <t>Risiko</t>
  </si>
  <si>
    <t>Risiko = höherer (Anschluss-)Zins, weniger Einkommen, mehr Instandhaltung</t>
  </si>
  <si>
    <t>Sollzins p.a.</t>
  </si>
  <si>
    <t>angenommener Zins über die gesamte Laufzeit</t>
  </si>
  <si>
    <t>Sicherheitsabschlag auf Einnahmen</t>
  </si>
  <si>
    <t>Puffer für Jobwechsel, Elternzeit, Krankheit …</t>
  </si>
  <si>
    <t>Instandhaltungsrücklage pro Monat</t>
  </si>
  <si>
    <t>Faustregel: 2–3 € je m² Wohnfläche und Monat</t>
  </si>
  <si>
    <t>Anteil des Überschusses für die Kreditrate</t>
  </si>
  <si>
    <t>Rest bleibt als freier monatlicher Puffer</t>
  </si>
  <si>
    <t>Überschuss nach Abschlag &amp; Rücklage</t>
  </si>
  <si>
    <t>= Einnahmen × (1 − Abschlag) − Ausgaben − Rücklage</t>
  </si>
  <si>
    <t>monatliche Kreditrate</t>
  </si>
  <si>
    <t>= Überschuss (Z. 27) × Anteil (Z. 26)</t>
  </si>
  <si>
    <t>anfängliche Tilgung p.a.</t>
  </si>
  <si>
    <t>= (Jahresrate − Zinsen 1. Jahr) ÷ Darlehen; Banken erwarten meist ≥ 2 %</t>
  </si>
  <si>
    <t>Laufzeit in Monaten</t>
  </si>
  <si>
    <t>= NPER(Zins/12; −Rate; Darlehen), s. Blatt Erläuterungen</t>
  </si>
  <si>
    <t>Laufzeit in Jahren</t>
  </si>
  <si>
    <t>Haus abbezahlt im Jahr</t>
  </si>
  <si>
    <t>= Kaufjahr + aufgerundete Laufzeit</t>
  </si>
  <si>
    <t>dafür insgesamt gezahlte Zinsen</t>
  </si>
  <si>
    <t>= Rate × Monate − Darlehen</t>
  </si>
  <si>
    <t>Alle Formeln sind im Blatt „Erläuterungen“ Schritt für Schritt erklärt.</t>
  </si>
  <si>
    <t>Tilgungsplan – Jahr für Jahr (Basis-Szenario)</t>
  </si>
  <si>
    <t>Annahme: Zins und Rate konstant, keine Sondertilgung. Formeln s. Blatt „Erläuterungen“.</t>
  </si>
  <si>
    <t>Darlehen</t>
  </si>
  <si>
    <t>Sollzins p.a. (Basis)</t>
  </si>
  <si>
    <t>Monatsrate (Basis)</t>
  </si>
  <si>
    <t>Jahr</t>
  </si>
  <si>
    <t>Restschuld Jahresanfang</t>
  </si>
  <si>
    <t>Zinsen im Jahr</t>
  </si>
  <si>
    <t>Tilgung im Jahr</t>
  </si>
  <si>
    <t>Restschuld Jahresende</t>
  </si>
  <si>
    <t>Erläuterungen – so funktioniert die Kalkulation</t>
  </si>
  <si>
    <t>1) Aufbau &amp; Farben</t>
  </si>
  <si>
    <t>GELBE Felder = Eingaben, die du frei ändern kannst. Alles andere rechnet sich automatisch neu.</t>
  </si>
  <si>
    <t>GRAUE Felder = berechnete Zwischenwerte, GRÜNE Felder = zentrale Ergebnisse. Beides bitte nicht überschreiben.</t>
  </si>
  <si>
    <t>Blätter: Eingaben (Rahmendaten) → Einnahmen / Ausgaben / Vermögen (Listen) → Kalkulation (Ergebnis) → Tilgungsplan (Jahr für Jahr).</t>
  </si>
  <si>
    <t>2) Einnahmen, Ausgaben, Vermögen</t>
  </si>
  <si>
    <t>In den Listen sind bis Zeile 15 (Vermögen: Zeile 12) Formeln vorbereitet – einfach neue Positionen in leere Zeilen eintragen.</t>
  </si>
  <si>
    <t>Intervall „jährlich“ wird automatisch umgerechnet:  pro Monat = Betrag ÷ 12.</t>
  </si>
  <si>
    <t>WICHTIG bei Ausgaben: Situation NACH dem Kauf eintragen – keine aktuelle Kaltmiete (entfällt) und keine Kreditrate (wird berechnet).</t>
  </si>
  <si>
    <t>Vermögen: Nur Zeilen mit „ja“ fließen als Eigenkapital ein. So bleibt z. B. der Notgroschen („nein“) geschützt.</t>
  </si>
  <si>
    <t>3) Gesamtkosten des Kaufs (Blatt Kalkulation, Zeilen 4–9)</t>
  </si>
  <si>
    <t>Jede Nebenkostenposition = Kaufpreis × Prozentsatz aus dem Blatt Eingaben.</t>
  </si>
  <si>
    <t>Typische Sätze: Grunderwerbsteuer 3,5–6,5 % (je Bundesland), Notar &amp; Grundbuch ca. 2 %, Makler bis 3,57 %.</t>
  </si>
  <si>
    <t>Gesamtkosten = Kaufpreis + Nebenkosten + einmalige Kosten (Renovierung/Umzug/Küche).</t>
  </si>
  <si>
    <t>4) Eigenkapital &amp; Darlehen (Zeilen 12–14)</t>
  </si>
  <si>
    <t>Eigenkapital-Einsatz = einsetzbares Vermögen × Eigenkapital-Quote (Eingaben!B11).</t>
  </si>
  <si>
    <t>Darlehensbedarf = Gesamtkosten − Eigenkapital-Einsatz.</t>
  </si>
  <si>
    <t>Beleihungsauslauf = Darlehen ÷ Kaufpreis. Über ca. 90 % wird der Kredit deutlich teurer, unter 80 % gibt es oft bessere Zinsen.</t>
  </si>
  <si>
    <t>5) Monatliche Kreditrate je Szenario (Zeilen 23–28)</t>
  </si>
  <si>
    <t>Überschuss = Einnahmen × (1 − Sicherheitsabschlag) − Ausgaben − Instandhaltungsrücklage.</t>
  </si>
  <si>
    <t>Kreditrate = Überschuss × „Anteil für Rate“. Der Rest des Überschusses bleibt als monatlicher Puffer übrig.</t>
  </si>
  <si>
    <t>Instandhaltungs-Faustregel: 2–3 € je m² Wohnfläche pro Monat zurücklegen (Dach, Heizung, Fenster …).</t>
  </si>
  <si>
    <t>6) Wann ist das Haus abbezahlt? – Mathematik des Annuitätendarlehens (Zeilen 29–33)</t>
  </si>
  <si>
    <t>Beim Annuitätendarlehen ist die Monatsrate konstant: Anfangs besteht sie fast nur aus Zinsen, am Ende fast nur aus Tilgung.</t>
  </si>
  <si>
    <t>Die Laufzeit liefert die Standard-Finanzfunktion NPER:  Monate = NPER(Zins ÷ 12; −Rate; Darlehen).</t>
  </si>
  <si>
    <t>Dahinter steckt die Formel  n = −ln(1 − Darlehen × i ÷ Rate) ÷ ln(1 + i)  mit i = Monatszins = Sollzins ÷ 12.</t>
  </si>
  <si>
    <t>Ist die Rate zu niedrig (Rate × 12 ≤ Darlehen × Zins), deckt sie nicht einmal die Zinsen – das Darlehen wird NIE getilgt.</t>
  </si>
  <si>
    <t>Dann zeigt die Tabelle „nie – Rate zu niedrig!“. Abhilfe: mehr Eigenkapital, günstigeres Haus oder höhere Rate.</t>
  </si>
  <si>
    <t>„Anfängliche Tilgung“ = (Jahresrate − Zinsen im 1. Jahr) ÷ Darlehen. Banken erwarten üblicherweise mindestens 2 %.</t>
  </si>
  <si>
    <t>„Haus abbezahlt im Jahr“ = Kaufjahr + aufgerundete Laufzeit in Jahren.</t>
  </si>
  <si>
    <t>Summe gezahlter Zinsen = Rate × Anzahl Monate − Darlehen (zeigt, was der Kredit insgesamt kostet).</t>
  </si>
  <si>
    <t>7) Die drei Szenarien</t>
  </si>
  <si>
    <t>OPTIMISTISCH: guter Zins, volle Einnahmen, kompletter Überschuss fließt in die Rate – bestmöglicher Fall.</t>
  </si>
  <si>
    <t>BASIS: realistische Planung – 5 % Einnahmen-Puffer, 85 % des Überschusses als Rate, mittlerer Zins.</t>
  </si>
  <si>
    <t>RISIKO: teurer (Anschluss-)Zins, 10 % weniger Einnahmen (Jobwechsel, Elternzeit …), höhere Instandhaltung, nur 80 % als Rate.</t>
  </si>
  <si>
    <t>Alle Parameter (Zeilen 23–26) sind gelb, also editierbar – eigene Annahmen einfach ausprobieren.</t>
  </si>
  <si>
    <t>8) Tilgungsplan (Basis-Szenario)</t>
  </si>
  <si>
    <t>Restschuld Jahresende = Restschuld × q − Rate × (q − 1) ÷ (Zins ÷ 12)  mit  q = (1 + Zins ÷ 12)¹² .</t>
  </si>
  <si>
    <t>Das ist die exakte Formel für 12 Monatsraten inklusive Zinseszins innerhalb des Jahres.</t>
  </si>
  <si>
    <t>Tilgung im Jahr = Restschuld Anfang − Restschuld Ende;  Zinsen im Jahr = 12 × Rate − Tilgung.</t>
  </si>
  <si>
    <t>Im letzten (Teil-)Jahr wird nur der Rest gezahlt: Zinsen = Restmonate (NPER) × Rate − Restschuld.</t>
  </si>
  <si>
    <t>9) Grenzen des Modells – bitte beachten</t>
  </si>
  <si>
    <t>Der Zins gilt hier über die GESAMTE Laufzeit. Real gilt er nur für die Zinsbindung (z. B. 10–15 Jahre);</t>
  </si>
  <si>
    <t>danach droht ein teurerer Anschlusskredit – genau dieses Risiko bildet das Risiko-Szenario ab.</t>
  </si>
  <si>
    <t>Nicht modelliert: Sondertilgungen, Gehaltssteigerungen, Inflation, Wertentwicklung des Hauses.</t>
  </si>
  <si>
    <t>Der Kaufpreis ist ein Platzhalter – sobald er feststeht, in Eingaben!B4 eintragen, alles rechnet sich neu.</t>
  </si>
  <si>
    <t>10) Import in Google Sheets</t>
  </si>
  <si>
    <t>Datei in Google Drive hochladen und mit „Google Tabellen“ öffnen – oder in Sheets: Datei → Importieren.</t>
  </si>
  <si>
    <t>Alle verwendeten Funktionen (SUM, IF, MAX, NPER, IFERROR, ROUND, ROUNDUP) funktionieren dort identisch.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</si>
</sst>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 &quot;€&quot;"/>
    <numFmt numFmtId="165" formatCode="#,##0.00 &quot;€&quot;"/>
    <numFmt numFmtId="166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000000"/>
      <sz val="11"/>
      <name val="Calibri"/>
    </font>
    <font>
      <color rgb="FF000000"/>
      <sz val="11"/>
      <name val="Calibri"/>
    </font>
    <font>
      <i/>
      <color rgb="FF80808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4" borderId="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10" fontId="3" fillId="4" borderId="1" xfId="0" applyNumberFormat="1" applyFont="1" applyFill="1" applyBorder="1" applyAlignment="1">
      <alignment horizontal="right" vertical="top"/>
    </xf>
    <xf numFmtId="1" fontId="3" fillId="4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165" fontId="3" fillId="5" borderId="1" xfId="0" applyNumberFormat="1" applyFont="1" applyFill="1" applyBorder="1" applyAlignment="1">
      <alignment horizontal="right" vertical="top"/>
    </xf>
    <xf numFmtId="164" fontId="3" fillId="4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65" fontId="2" fillId="6" borderId="1" xfId="0" applyNumberFormat="1" applyFont="1" applyFill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top"/>
    </xf>
    <xf numFmtId="164" fontId="2" fillId="5" borderId="1" xfId="0" applyNumberFormat="1" applyFont="1" applyFill="1" applyBorder="1" applyAlignment="1">
      <alignment horizontal="right" vertical="top"/>
    </xf>
    <xf numFmtId="164" fontId="2" fillId="6" borderId="1" xfId="0" applyNumberFormat="1" applyFont="1" applyFill="1" applyBorder="1" applyAlignment="1">
      <alignment horizontal="right" vertical="top"/>
    </xf>
    <xf numFmtId="10" fontId="3" fillId="5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right" vertical="top"/>
    </xf>
    <xf numFmtId="1" fontId="3" fillId="5" borderId="1" xfId="0" applyNumberFormat="1" applyFont="1" applyFill="1" applyBorder="1" applyAlignment="1">
      <alignment horizontal="right" vertical="top"/>
    </xf>
    <xf numFmtId="166" fontId="3" fillId="5" borderId="1" xfId="0" applyNumberFormat="1" applyFont="1" applyFill="1" applyBorder="1" applyAlignment="1">
      <alignment horizontal="right" vertical="top"/>
    </xf>
    <xf numFmtId="1" fontId="2" fillId="6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">
    <dxf>
      <font>
        <color rgb="FFC0C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C12"/>
  <sheetFormatPr defaultRowHeight="15" outlineLevelRow="0" outlineLevelCol="0" x14ac:dyDescent="55"/>
  <cols>
    <col min="1" max="1" width="46" customWidth="1"/>
    <col min="2" max="2" width="16" customWidth="1"/>
    <col min="3" max="3" width="58" customWidth="1"/>
  </cols>
  <sheetData>
    <row r="1" ht="24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/>
      <c r="C3" s="2"/>
    </row>
    <row r="4" spans="1:3" x14ac:dyDescent="0.25">
      <c r="A4" s="3" t="s">
        <v>2</v>
      </c>
      <c r="B4" s="4">
        <v>400000</v>
      </c>
      <c r="C4" s="5" t="s">
        <v>3</v>
      </c>
    </row>
    <row r="5" spans="1:3" x14ac:dyDescent="0.25">
      <c r="A5" s="3" t="s">
        <v>4</v>
      </c>
      <c r="B5" s="6">
        <v>0.065</v>
      </c>
      <c r="C5" s="5" t="s">
        <v>5</v>
      </c>
    </row>
    <row r="6" spans="1:3" x14ac:dyDescent="0.25">
      <c r="A6" s="3" t="s">
        <v>6</v>
      </c>
      <c r="B6" s="6">
        <v>0.02</v>
      </c>
      <c r="C6" s="5" t="s">
        <v>7</v>
      </c>
    </row>
    <row r="7" spans="1:3" x14ac:dyDescent="0.25">
      <c r="A7" s="3" t="s">
        <v>8</v>
      </c>
      <c r="B7" s="6">
        <v>0.0357</v>
      </c>
      <c r="C7" s="5" t="s">
        <v>9</v>
      </c>
    </row>
    <row r="8" spans="1:3" x14ac:dyDescent="0.25">
      <c r="A8" s="3" t="s">
        <v>10</v>
      </c>
      <c r="B8" s="4">
        <v>20000</v>
      </c>
      <c r="C8" s="5" t="s">
        <v>11</v>
      </c>
    </row>
    <row r="10" spans="1:3" x14ac:dyDescent="0.25">
      <c r="A10" s="2" t="s">
        <v>12</v>
      </c>
      <c r="B10" s="2"/>
      <c r="C10" s="2"/>
    </row>
    <row r="11" spans="1:3" x14ac:dyDescent="0.25">
      <c r="A11" s="3" t="s">
        <v>13</v>
      </c>
      <c r="B11" s="6">
        <v>0.9</v>
      </c>
      <c r="C11" s="5" t="s">
        <v>14</v>
      </c>
    </row>
    <row r="12" spans="1:3" x14ac:dyDescent="0.25">
      <c r="A12" s="3" t="s">
        <v>15</v>
      </c>
      <c r="B12" s="7">
        <v>2026</v>
      </c>
      <c r="C12" s="5" t="s">
        <v>16</v>
      </c>
    </row>
  </sheetData>
  <mergeCells count="3">
    <mergeCell ref="A1:C1"/>
    <mergeCell ref="A3:C3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D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12" customWidth="1"/>
    <col min="4" max="4" width="16" customWidth="1"/>
  </cols>
  <sheetData>
    <row r="1" ht="24" customHeight="1" spans="1:4" x14ac:dyDescent="0.25">
      <c r="A1" s="1" t="s">
        <v>17</v>
      </c>
      <c r="B1" s="1"/>
      <c r="C1" s="1"/>
      <c r="D1" s="1"/>
    </row>
    <row r="2" ht="28" customHeight="1" spans="1:4" x14ac:dyDescent="0.25">
      <c r="A2" s="5" t="s">
        <v>18</v>
      </c>
      <c r="B2" s="5"/>
      <c r="C2" s="5"/>
      <c r="D2" s="5"/>
    </row>
    <row r="3" spans="1:4" x14ac:dyDescent="0.25">
      <c r="A3" s="8" t="s">
        <v>19</v>
      </c>
      <c r="B3" s="8" t="s">
        <v>20</v>
      </c>
      <c r="C3" s="8" t="s">
        <v>21</v>
      </c>
      <c r="D3" s="8" t="s">
        <v>22</v>
      </c>
    </row>
    <row r="4" spans="1:4" x14ac:dyDescent="0.25">
      <c r="A4" s="9" t="s">
        <v>23</v>
      </c>
      <c r="B4" s="4">
        <v>3200</v>
      </c>
      <c r="C4" s="9" t="s">
        <v>24</v>
      </c>
      <c r="D4" s="10">
        <f>IF($B4="","",IF($C4="jährlich",$B4/12,$B4))</f>
      </c>
    </row>
    <row r="5" spans="1:4" x14ac:dyDescent="0.25">
      <c r="A5" s="9" t="s">
        <v>25</v>
      </c>
      <c r="B5" s="4">
        <v>2400</v>
      </c>
      <c r="C5" s="9" t="s">
        <v>24</v>
      </c>
      <c r="D5" s="10">
        <f>IF($B5="","",IF($C5="jährlich",$B5/12,$B5))</f>
      </c>
    </row>
    <row r="6" spans="1:4" x14ac:dyDescent="0.25">
      <c r="A6" s="9" t="s">
        <v>26</v>
      </c>
      <c r="B6" s="4">
        <v>255</v>
      </c>
      <c r="C6" s="9" t="s">
        <v>24</v>
      </c>
      <c r="D6" s="10">
        <f>IF($B6="","",IF($C6="jährlich",$B6/12,$B6))</f>
      </c>
    </row>
    <row r="7" spans="1:4" x14ac:dyDescent="0.25">
      <c r="A7" s="9" t="s">
        <v>27</v>
      </c>
      <c r="B7" s="4">
        <v>2500</v>
      </c>
      <c r="C7" s="9" t="s">
        <v>28</v>
      </c>
      <c r="D7" s="10">
        <f>IF($B7="","",IF($C7="jährlich",$B7/12,$B7))</f>
      </c>
    </row>
    <row r="8" spans="1:4" x14ac:dyDescent="0.25">
      <c r="A8" s="9" t="s">
        <v>29</v>
      </c>
      <c r="B8" s="4">
        <v>1200</v>
      </c>
      <c r="C8" s="9" t="s">
        <v>28</v>
      </c>
      <c r="D8" s="10">
        <f>IF($B8="","",IF($C8="jährlich",$B8/12,$B8))</f>
      </c>
    </row>
    <row r="9" spans="1:4" x14ac:dyDescent="0.25">
      <c r="A9" s="9" t="s">
        <v>30</v>
      </c>
      <c r="B9" s="11"/>
      <c r="C9" s="9" t="s">
        <v>30</v>
      </c>
      <c r="D9" s="10">
        <f>IF($B9="","",IF($C9="jährlich",$B9/12,$B9))</f>
      </c>
    </row>
    <row r="10" spans="1:4" x14ac:dyDescent="0.25">
      <c r="A10" s="9" t="s">
        <v>30</v>
      </c>
      <c r="B10" s="11"/>
      <c r="C10" s="9" t="s">
        <v>30</v>
      </c>
      <c r="D10" s="10">
        <f>IF($B10="","",IF($C10="jährlich",$B10/12,$B10))</f>
      </c>
    </row>
    <row r="11" spans="1:4" x14ac:dyDescent="0.25">
      <c r="A11" s="9" t="s">
        <v>30</v>
      </c>
      <c r="B11" s="11"/>
      <c r="C11" s="9" t="s">
        <v>30</v>
      </c>
      <c r="D11" s="10">
        <f>IF($B11="","",IF($C11="jährlich",$B11/12,$B11))</f>
      </c>
    </row>
    <row r="12" spans="1:4" x14ac:dyDescent="0.25">
      <c r="A12" s="9" t="s">
        <v>30</v>
      </c>
      <c r="B12" s="11"/>
      <c r="C12" s="9" t="s">
        <v>30</v>
      </c>
      <c r="D12" s="10">
        <f>IF($B12="","",IF($C12="jährlich",$B12/12,$B12))</f>
      </c>
    </row>
    <row r="13" spans="1:4" x14ac:dyDescent="0.25">
      <c r="A13" s="9" t="s">
        <v>30</v>
      </c>
      <c r="B13" s="11"/>
      <c r="C13" s="9" t="s">
        <v>30</v>
      </c>
      <c r="D13" s="10">
        <f>IF($B13="","",IF($C13="jährlich",$B13/12,$B13))</f>
      </c>
    </row>
    <row r="14" spans="1:4" x14ac:dyDescent="0.25">
      <c r="A14" s="9" t="s">
        <v>30</v>
      </c>
      <c r="B14" s="11"/>
      <c r="C14" s="9" t="s">
        <v>30</v>
      </c>
      <c r="D14" s="10">
        <f>IF($B14="","",IF($C14="jährlich",$B14/12,$B14))</f>
      </c>
    </row>
    <row r="15" spans="1:4" x14ac:dyDescent="0.25">
      <c r="A15" s="9" t="s">
        <v>30</v>
      </c>
      <c r="B15" s="11"/>
      <c r="C15" s="9" t="s">
        <v>30</v>
      </c>
      <c r="D15" s="10">
        <f>IF($B15="","",IF($C15="jährlich",$B15/12,$B15))</f>
      </c>
    </row>
    <row r="17" spans="1:4" x14ac:dyDescent="0.25">
      <c r="A17" s="12" t="s">
        <v>31</v>
      </c>
      <c r="D17" s="13">
        <f>SUM(D4:D15)</f>
      </c>
    </row>
  </sheetData>
  <mergeCells count="2">
    <mergeCell ref="A1:D1"/>
    <mergeCell ref="A2:D2"/>
  </mergeCells>
  <dataValidations count="2">
    <dataValidation type="list" allowBlank="1" sqref="C10:C15">
      <formula1>"monatlich,jährlich"</formula1>
    </dataValidation>
    <dataValidation type="list" allowBlank="1" sqref="C4:C15">
      <formula1>"monatlich,jährlich"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12" customWidth="1"/>
    <col min="4" max="4" width="16" customWidth="1"/>
  </cols>
  <sheetData>
    <row r="1" ht="24" customHeight="1" spans="1:4" x14ac:dyDescent="0.25">
      <c r="A1" s="1" t="s">
        <v>32</v>
      </c>
      <c r="B1" s="1"/>
      <c r="C1" s="1"/>
      <c r="D1" s="1"/>
    </row>
    <row r="2" ht="28" customHeight="1" spans="1:4" x14ac:dyDescent="0.25">
      <c r="A2" s="5" t="s">
        <v>33</v>
      </c>
      <c r="B2" s="5"/>
      <c r="C2" s="5"/>
      <c r="D2" s="5"/>
    </row>
    <row r="3" spans="1:4" x14ac:dyDescent="0.25">
      <c r="A3" s="8" t="s">
        <v>19</v>
      </c>
      <c r="B3" s="8" t="s">
        <v>20</v>
      </c>
      <c r="C3" s="8" t="s">
        <v>21</v>
      </c>
      <c r="D3" s="8" t="s">
        <v>22</v>
      </c>
    </row>
    <row r="4" spans="1:4" x14ac:dyDescent="0.25">
      <c r="A4" s="9" t="s">
        <v>34</v>
      </c>
      <c r="B4" s="4">
        <v>1400</v>
      </c>
      <c r="C4" s="9" t="s">
        <v>24</v>
      </c>
      <c r="D4" s="10">
        <f>IF($B4="","",IF($C4="jährlich",$B4/12,$B4))</f>
      </c>
    </row>
    <row r="5" spans="1:4" x14ac:dyDescent="0.25">
      <c r="A5" s="9" t="s">
        <v>35</v>
      </c>
      <c r="B5" s="4">
        <v>350</v>
      </c>
      <c r="C5" s="9" t="s">
        <v>24</v>
      </c>
      <c r="D5" s="10">
        <f>IF($B5="","",IF($C5="jährlich",$B5/12,$B5))</f>
      </c>
    </row>
    <row r="6" spans="1:4" x14ac:dyDescent="0.25">
      <c r="A6" s="9" t="s">
        <v>36</v>
      </c>
      <c r="B6" s="4">
        <v>300</v>
      </c>
      <c r="C6" s="9" t="s">
        <v>24</v>
      </c>
      <c r="D6" s="10">
        <f>IF($B6="","",IF($C6="jährlich",$B6/12,$B6))</f>
      </c>
    </row>
    <row r="7" spans="1:4" x14ac:dyDescent="0.25">
      <c r="A7" s="9" t="s">
        <v>37</v>
      </c>
      <c r="B7" s="4">
        <v>1800</v>
      </c>
      <c r="C7" s="9" t="s">
        <v>28</v>
      </c>
      <c r="D7" s="10">
        <f>IF($B7="","",IF($C7="jährlich",$B7/12,$B7))</f>
      </c>
    </row>
    <row r="8" spans="1:4" x14ac:dyDescent="0.25">
      <c r="A8" s="9" t="s">
        <v>38</v>
      </c>
      <c r="B8" s="4">
        <v>3000</v>
      </c>
      <c r="C8" s="9" t="s">
        <v>28</v>
      </c>
      <c r="D8" s="10">
        <f>IF($B8="","",IF($C8="jährlich",$B8/12,$B8))</f>
      </c>
    </row>
    <row r="9" spans="1:4" x14ac:dyDescent="0.25">
      <c r="A9" s="9" t="s">
        <v>39</v>
      </c>
      <c r="B9" s="4">
        <v>100</v>
      </c>
      <c r="C9" s="9" t="s">
        <v>24</v>
      </c>
      <c r="D9" s="10">
        <f>IF($B9="","",IF($C9="jährlich",$B9/12,$B9))</f>
      </c>
    </row>
    <row r="10" spans="1:4" x14ac:dyDescent="0.25">
      <c r="A10" s="9" t="s">
        <v>40</v>
      </c>
      <c r="B10" s="4">
        <v>800</v>
      </c>
      <c r="C10" s="9" t="s">
        <v>28</v>
      </c>
      <c r="D10" s="10">
        <f>IF($B10="","",IF($C10="jährlich",$B10/12,$B10))</f>
      </c>
    </row>
    <row r="11" spans="1:4" x14ac:dyDescent="0.25">
      <c r="A11" s="9" t="s">
        <v>41</v>
      </c>
      <c r="B11" s="4">
        <v>200</v>
      </c>
      <c r="C11" s="9" t="s">
        <v>24</v>
      </c>
      <c r="D11" s="10">
        <f>IF($B11="","",IF($C11="jährlich",$B11/12,$B11))</f>
      </c>
    </row>
    <row r="12" spans="1:4" x14ac:dyDescent="0.25">
      <c r="A12" s="9" t="s">
        <v>30</v>
      </c>
      <c r="B12" s="11"/>
      <c r="C12" s="9" t="s">
        <v>30</v>
      </c>
      <c r="D12" s="10">
        <f>IF($B12="","",IF($C12="jährlich",$B12/12,$B12))</f>
      </c>
    </row>
    <row r="13" spans="1:4" x14ac:dyDescent="0.25">
      <c r="A13" s="9" t="s">
        <v>30</v>
      </c>
      <c r="B13" s="11"/>
      <c r="C13" s="9" t="s">
        <v>30</v>
      </c>
      <c r="D13" s="10">
        <f>IF($B13="","",IF($C13="jährlich",$B13/12,$B13))</f>
      </c>
    </row>
    <row r="14" spans="1:4" x14ac:dyDescent="0.25">
      <c r="A14" s="9" t="s">
        <v>30</v>
      </c>
      <c r="B14" s="11"/>
      <c r="C14" s="9" t="s">
        <v>30</v>
      </c>
      <c r="D14" s="10">
        <f>IF($B14="","",IF($C14="jährlich",$B14/12,$B14))</f>
      </c>
    </row>
    <row r="15" spans="1:4" x14ac:dyDescent="0.25">
      <c r="A15" s="9" t="s">
        <v>30</v>
      </c>
      <c r="B15" s="11"/>
      <c r="C15" s="9" t="s">
        <v>30</v>
      </c>
      <c r="D15" s="10">
        <f>IF($B15="","",IF($C15="jährlich",$B15/12,$B15))</f>
      </c>
    </row>
    <row r="17" spans="1:4" x14ac:dyDescent="0.25">
      <c r="A17" s="12" t="s">
        <v>42</v>
      </c>
      <c r="D17" s="13">
        <f>SUM(D4:D15)</f>
      </c>
    </row>
  </sheetData>
  <mergeCells count="2">
    <mergeCell ref="A1:D1"/>
    <mergeCell ref="A2:D2"/>
  </mergeCells>
  <dataValidations count="2">
    <dataValidation type="list" allowBlank="1" sqref="C10:C15">
      <formula1>"monatlich,jährlich"</formula1>
    </dataValidation>
    <dataValidation type="list" allowBlank="1" sqref="C4:C15">
      <formula1>"monatlich,jährlich"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D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  <col min="3" max="3" width="22" customWidth="1"/>
    <col min="4" max="4" width="16" customWidth="1"/>
  </cols>
  <sheetData>
    <row r="1" ht="24" customHeight="1" spans="1:4" x14ac:dyDescent="0.25">
      <c r="A1" s="1" t="s">
        <v>43</v>
      </c>
      <c r="B1" s="1"/>
      <c r="C1" s="1"/>
      <c r="D1" s="1"/>
    </row>
    <row r="2" spans="1:4" x14ac:dyDescent="0.25">
      <c r="A2" s="5" t="s">
        <v>44</v>
      </c>
      <c r="B2" s="5"/>
      <c r="C2" s="5"/>
      <c r="D2" s="5"/>
    </row>
    <row r="3" spans="1:4" x14ac:dyDescent="0.25">
      <c r="A3" s="8" t="s">
        <v>19</v>
      </c>
      <c r="B3" s="8" t="s">
        <v>45</v>
      </c>
      <c r="C3" s="8" t="s">
        <v>46</v>
      </c>
      <c r="D3" s="8" t="s">
        <v>47</v>
      </c>
    </row>
    <row r="4" spans="1:4" x14ac:dyDescent="0.25">
      <c r="A4" s="9" t="s">
        <v>48</v>
      </c>
      <c r="B4" s="4">
        <v>60000</v>
      </c>
      <c r="C4" s="9" t="s">
        <v>49</v>
      </c>
      <c r="D4" s="14">
        <f>IF($B4="","",IF($C4="ja",$B4,0))</f>
      </c>
    </row>
    <row r="5" spans="1:4" x14ac:dyDescent="0.25">
      <c r="A5" s="9" t="s">
        <v>50</v>
      </c>
      <c r="B5" s="4">
        <v>40000</v>
      </c>
      <c r="C5" s="9" t="s">
        <v>49</v>
      </c>
      <c r="D5" s="14">
        <f>IF($B5="","",IF($C5="ja",$B5,0))</f>
      </c>
    </row>
    <row r="6" spans="1:4" x14ac:dyDescent="0.25">
      <c r="A6" s="9" t="s">
        <v>51</v>
      </c>
      <c r="B6" s="4">
        <v>15000</v>
      </c>
      <c r="C6" s="9" t="s">
        <v>49</v>
      </c>
      <c r="D6" s="14">
        <f>IF($B6="","",IF($C6="ja",$B6,0))</f>
      </c>
    </row>
    <row r="7" spans="1:4" x14ac:dyDescent="0.25">
      <c r="A7" s="9" t="s">
        <v>52</v>
      </c>
      <c r="B7" s="4">
        <v>15000</v>
      </c>
      <c r="C7" s="9" t="s">
        <v>53</v>
      </c>
      <c r="D7" s="14">
        <f>IF($B7="","",IF($C7="ja",$B7,0))</f>
      </c>
    </row>
    <row r="8" spans="1:4" x14ac:dyDescent="0.25">
      <c r="A8" s="9" t="s">
        <v>30</v>
      </c>
      <c r="B8" s="11"/>
      <c r="C8" s="9" t="s">
        <v>30</v>
      </c>
      <c r="D8" s="14">
        <f>IF($B8="","",IF($C8="ja",$B8,0))</f>
      </c>
    </row>
    <row r="9" spans="1:4" x14ac:dyDescent="0.25">
      <c r="A9" s="9" t="s">
        <v>30</v>
      </c>
      <c r="B9" s="11"/>
      <c r="C9" s="9" t="s">
        <v>30</v>
      </c>
      <c r="D9" s="14">
        <f>IF($B9="","",IF($C9="ja",$B9,0))</f>
      </c>
    </row>
    <row r="10" spans="1:4" x14ac:dyDescent="0.25">
      <c r="A10" s="9" t="s">
        <v>30</v>
      </c>
      <c r="B10" s="11"/>
      <c r="C10" s="9" t="s">
        <v>30</v>
      </c>
      <c r="D10" s="14">
        <f>IF($B10="","",IF($C10="ja",$B10,0))</f>
      </c>
    </row>
    <row r="11" spans="1:4" x14ac:dyDescent="0.25">
      <c r="A11" s="9" t="s">
        <v>30</v>
      </c>
      <c r="B11" s="11"/>
      <c r="C11" s="9" t="s">
        <v>30</v>
      </c>
      <c r="D11" s="14">
        <f>IF($B11="","",IF($C11="ja",$B11,0))</f>
      </c>
    </row>
    <row r="12" spans="1:4" x14ac:dyDescent="0.25">
      <c r="A12" s="9" t="s">
        <v>30</v>
      </c>
      <c r="B12" s="11"/>
      <c r="C12" s="9" t="s">
        <v>30</v>
      </c>
      <c r="D12" s="14">
        <f>IF($B12="","",IF($C12="ja",$B12,0))</f>
      </c>
    </row>
    <row r="14" spans="1:2" x14ac:dyDescent="0.25">
      <c r="A14" s="12" t="s">
        <v>54</v>
      </c>
      <c r="B14" s="15">
        <f>SUM(B4:B12)</f>
      </c>
    </row>
    <row r="15" spans="1:4" x14ac:dyDescent="0.25">
      <c r="A15" s="12" t="s">
        <v>55</v>
      </c>
      <c r="D15" s="16">
        <f>SUM(D4:D12)</f>
      </c>
    </row>
  </sheetData>
  <mergeCells count="2">
    <mergeCell ref="A1:D1"/>
    <mergeCell ref="A2:D2"/>
  </mergeCells>
  <dataValidations count="2">
    <dataValidation type="list" allowBlank="1" sqref="C10:C12">
      <formula1>"ja,nein"</formula1>
    </dataValidation>
    <dataValidation type="list" allowBlank="1" sqref="C4:C12">
      <formula1>"ja,nein"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4" width="15" customWidth="1"/>
    <col min="5" max="5" width="62" customWidth="1"/>
  </cols>
  <sheetData>
    <row r="1" ht="24" customHeight="1" spans="1:5" x14ac:dyDescent="0.25">
      <c r="A1" s="1" t="s">
        <v>56</v>
      </c>
      <c r="B1" s="1"/>
      <c r="C1" s="1"/>
      <c r="D1" s="1"/>
      <c r="E1" s="1"/>
    </row>
    <row r="3" spans="1:5" x14ac:dyDescent="0.25">
      <c r="A3" s="2" t="s">
        <v>57</v>
      </c>
      <c r="B3" s="2"/>
      <c r="C3" s="2"/>
      <c r="D3" s="2"/>
      <c r="E3" s="2"/>
    </row>
    <row r="4" spans="1:5" x14ac:dyDescent="0.25">
      <c r="A4" s="3" t="s">
        <v>58</v>
      </c>
      <c r="B4" s="14">
        <f>'Eingaben'!B4</f>
      </c>
      <c r="E4" s="5" t="s">
        <v>30</v>
      </c>
    </row>
    <row r="5" spans="1:5" x14ac:dyDescent="0.25">
      <c r="A5" s="3" t="s">
        <v>59</v>
      </c>
      <c r="B5" s="14">
        <f>'Eingaben'!B4*'Eingaben'!B5</f>
      </c>
      <c r="E5" s="5" t="s">
        <v>60</v>
      </c>
    </row>
    <row r="6" spans="1:5" x14ac:dyDescent="0.25">
      <c r="A6" s="3" t="s">
        <v>61</v>
      </c>
      <c r="B6" s="14">
        <f>'Eingaben'!B4*'Eingaben'!B6</f>
      </c>
      <c r="E6" s="5" t="s">
        <v>62</v>
      </c>
    </row>
    <row r="7" spans="1:5" x14ac:dyDescent="0.25">
      <c r="A7" s="3" t="s">
        <v>63</v>
      </c>
      <c r="B7" s="14">
        <f>'Eingaben'!B4*'Eingaben'!B7</f>
      </c>
      <c r="E7" s="5" t="s">
        <v>62</v>
      </c>
    </row>
    <row r="8" spans="1:5" x14ac:dyDescent="0.25">
      <c r="A8" s="3" t="s">
        <v>64</v>
      </c>
      <c r="B8" s="14">
        <f>'Eingaben'!B8</f>
      </c>
      <c r="E8" s="5" t="s">
        <v>65</v>
      </c>
    </row>
    <row r="9" spans="1:5" x14ac:dyDescent="0.25">
      <c r="A9" s="12" t="s">
        <v>66</v>
      </c>
      <c r="B9" s="16">
        <f>SUM(B4:B8)</f>
      </c>
      <c r="E9" s="5" t="s">
        <v>67</v>
      </c>
    </row>
    <row r="11" spans="1:5" x14ac:dyDescent="0.25">
      <c r="A11" s="2" t="s">
        <v>68</v>
      </c>
      <c r="B11" s="2"/>
      <c r="C11" s="2"/>
      <c r="D11" s="2"/>
      <c r="E11" s="2"/>
    </row>
    <row r="12" spans="1:5" x14ac:dyDescent="0.25">
      <c r="A12" s="3" t="s">
        <v>69</v>
      </c>
      <c r="B12" s="14">
        <f>'Vermögen'!D15*'Eingaben'!B11</f>
      </c>
      <c r="E12" s="5" t="s">
        <v>70</v>
      </c>
    </row>
    <row r="13" spans="1:5" x14ac:dyDescent="0.25">
      <c r="A13" s="12" t="s">
        <v>71</v>
      </c>
      <c r="B13" s="16">
        <f>MAX(0,B9-B12)</f>
      </c>
      <c r="E13" s="5" t="s">
        <v>72</v>
      </c>
    </row>
    <row r="14" spans="1:5" x14ac:dyDescent="0.25">
      <c r="A14" s="3" t="s">
        <v>73</v>
      </c>
      <c r="B14" s="17">
        <f>B13/B4</f>
      </c>
      <c r="E14" s="5" t="s">
        <v>74</v>
      </c>
    </row>
    <row r="16" spans="1:5" x14ac:dyDescent="0.25">
      <c r="A16" s="2" t="s">
        <v>75</v>
      </c>
      <c r="B16" s="2"/>
      <c r="C16" s="2"/>
      <c r="D16" s="2"/>
      <c r="E16" s="2"/>
    </row>
    <row r="17" spans="1:2" x14ac:dyDescent="0.25">
      <c r="A17" s="3" t="s">
        <v>76</v>
      </c>
      <c r="B17" s="10">
        <f>'Einnahmen'!D17</f>
      </c>
    </row>
    <row r="18" spans="1:2" x14ac:dyDescent="0.25">
      <c r="A18" s="3" t="s">
        <v>77</v>
      </c>
      <c r="B18" s="10">
        <f>'Ausgaben'!D17</f>
      </c>
    </row>
    <row r="19" spans="1:2" x14ac:dyDescent="0.25">
      <c r="A19" s="12" t="s">
        <v>78</v>
      </c>
      <c r="B19" s="13">
        <f>B17-B18</f>
      </c>
    </row>
    <row r="21" spans="1:5" x14ac:dyDescent="0.25">
      <c r="A21" s="2" t="s">
        <v>79</v>
      </c>
      <c r="B21" s="2"/>
      <c r="C21" s="2"/>
      <c r="D21" s="2"/>
      <c r="E21" s="2"/>
    </row>
    <row r="22" spans="1:5" x14ac:dyDescent="0.25">
      <c r="A22" s="8" t="s">
        <v>80</v>
      </c>
      <c r="B22" s="18" t="s">
        <v>81</v>
      </c>
      <c r="C22" s="18" t="s">
        <v>82</v>
      </c>
      <c r="D22" s="18" t="s">
        <v>83</v>
      </c>
      <c r="E22" s="5" t="s">
        <v>84</v>
      </c>
    </row>
    <row r="23" spans="1:5" x14ac:dyDescent="0.25">
      <c r="A23" s="3" t="s">
        <v>85</v>
      </c>
      <c r="B23" s="6">
        <v>0.032</v>
      </c>
      <c r="C23" s="6">
        <v>0.038</v>
      </c>
      <c r="D23" s="6">
        <v>0.05</v>
      </c>
      <c r="E23" s="5" t="s">
        <v>86</v>
      </c>
    </row>
    <row r="24" spans="1:5" x14ac:dyDescent="0.25">
      <c r="A24" s="3" t="s">
        <v>87</v>
      </c>
      <c r="B24" s="6">
        <v>0</v>
      </c>
      <c r="C24" s="6">
        <v>0.05</v>
      </c>
      <c r="D24" s="6">
        <v>0.1</v>
      </c>
      <c r="E24" s="5" t="s">
        <v>88</v>
      </c>
    </row>
    <row r="25" spans="1:5" x14ac:dyDescent="0.25">
      <c r="A25" s="3" t="s">
        <v>89</v>
      </c>
      <c r="B25" s="4">
        <v>200</v>
      </c>
      <c r="C25" s="4">
        <v>300</v>
      </c>
      <c r="D25" s="4">
        <v>400</v>
      </c>
      <c r="E25" s="5" t="s">
        <v>90</v>
      </c>
    </row>
    <row r="26" spans="1:5" x14ac:dyDescent="0.25">
      <c r="A26" s="3" t="s">
        <v>91</v>
      </c>
      <c r="B26" s="6">
        <v>1</v>
      </c>
      <c r="C26" s="6">
        <v>0.85</v>
      </c>
      <c r="D26" s="6">
        <v>0.8</v>
      </c>
      <c r="E26" s="5" t="s">
        <v>92</v>
      </c>
    </row>
    <row r="27" spans="1:5" x14ac:dyDescent="0.25">
      <c r="A27" s="3" t="s">
        <v>93</v>
      </c>
      <c r="B27" s="10">
        <f>$B$17*(1-B24)-$B$18-B25</f>
      </c>
      <c r="C27" s="10">
        <f>$B$17*(1-C24)-$B$18-C25</f>
      </c>
      <c r="D27" s="10">
        <f>$B$17*(1-D24)-$B$18-D25</f>
      </c>
      <c r="E27" s="5" t="s">
        <v>94</v>
      </c>
    </row>
    <row r="28" spans="1:5" x14ac:dyDescent="0.25">
      <c r="A28" s="3" t="s">
        <v>95</v>
      </c>
      <c r="B28" s="10">
        <f>MAX(0,B27*B26)</f>
      </c>
      <c r="C28" s="10">
        <f>MAX(0,C27*C26)</f>
      </c>
      <c r="D28" s="10">
        <f>MAX(0,D27*D26)</f>
      </c>
      <c r="E28" s="5" t="s">
        <v>96</v>
      </c>
    </row>
    <row r="29" spans="1:5" x14ac:dyDescent="0.25">
      <c r="A29" s="3" t="s">
        <v>97</v>
      </c>
      <c r="B29" s="17">
        <f>IF(B28=0,"–",(B28*12-$B$13*B23)/$B$13)</f>
      </c>
      <c r="C29" s="17">
        <f>IF(C28=0,"–",(C28*12-$B$13*C23)/$B$13)</f>
      </c>
      <c r="D29" s="17">
        <f>IF(D28=0,"–",(D28*12-$B$13*D23)/$B$13)</f>
      </c>
      <c r="E29" s="5" t="s">
        <v>98</v>
      </c>
    </row>
    <row r="30" spans="1:5" x14ac:dyDescent="0.25">
      <c r="A30" s="3" t="s">
        <v>99</v>
      </c>
      <c r="B30" s="19">
        <f>IFERROR(ROUND(NPER(B23/12,-B28,$B$13),0),"nie – Rate zu niedrig!")</f>
      </c>
      <c r="C30" s="19">
        <f>IFERROR(ROUND(NPER(C23/12,-C28,$B$13),0),"nie – Rate zu niedrig!")</f>
      </c>
      <c r="D30" s="19">
        <f>IFERROR(ROUND(NPER(D23/12,-D28,$B$13),0),"nie – Rate zu niedrig!")</f>
      </c>
      <c r="E30" s="5" t="s">
        <v>100</v>
      </c>
    </row>
    <row r="31" spans="1:5" x14ac:dyDescent="0.25">
      <c r="A31" s="3" t="s">
        <v>101</v>
      </c>
      <c r="B31" s="20">
        <f>IFERROR(ROUND(NPER(B23/12,-B28,$B$13)/12,1),"–")</f>
      </c>
      <c r="C31" s="20">
        <f>IFERROR(ROUND(NPER(C23/12,-C28,$B$13)/12,1),"–")</f>
      </c>
      <c r="D31" s="20">
        <f>IFERROR(ROUND(NPER(D23/12,-D28,$B$13)/12,1),"–")</f>
      </c>
      <c r="E31" s="5" t="s">
        <v>30</v>
      </c>
    </row>
    <row r="32" spans="1:5" x14ac:dyDescent="0.25">
      <c r="A32" s="12" t="s">
        <v>102</v>
      </c>
      <c r="B32" s="21">
        <f>IFERROR('Eingaben'!$B$12+ROUNDUP(NPER(B23/12,-B28,$B$13)/12,0),"nie")</f>
      </c>
      <c r="C32" s="21">
        <f>IFERROR('Eingaben'!$B$12+ROUNDUP(NPER(C23/12,-C28,$B$13)/12,0),"nie")</f>
      </c>
      <c r="D32" s="21">
        <f>IFERROR('Eingaben'!$B$12+ROUNDUP(NPER(D23/12,-D28,$B$13)/12,0),"nie")</f>
      </c>
      <c r="E32" s="5" t="s">
        <v>103</v>
      </c>
    </row>
    <row r="33" spans="1:5" x14ac:dyDescent="0.25">
      <c r="A33" s="3" t="s">
        <v>104</v>
      </c>
      <c r="B33" s="14">
        <f>IFERROR(NPER(B23/12,-B28,$B$13)*B28-$B$13,"–")</f>
      </c>
      <c r="C33" s="14">
        <f>IFERROR(NPER(C23/12,-C28,$B$13)*C28-$B$13,"–")</f>
      </c>
      <c r="D33" s="14">
        <f>IFERROR(NPER(D23/12,-D28,$B$13)*D28-$B$13,"–")</f>
      </c>
      <c r="E33" s="5" t="s">
        <v>105</v>
      </c>
    </row>
    <row r="35" spans="1:1" x14ac:dyDescent="0.25">
      <c r="A35" s="5" t="s">
        <v>106</v>
      </c>
    </row>
  </sheetData>
  <mergeCells count="5">
    <mergeCell ref="A1:E1"/>
    <mergeCell ref="A3:E3"/>
    <mergeCell ref="A11:E11"/>
    <mergeCell ref="A16:E16"/>
    <mergeCell ref="A21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47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4" width="18" customWidth="1"/>
    <col min="5" max="5" width="22" customWidth="1"/>
  </cols>
  <sheetData>
    <row r="1" ht="24" customHeight="1" spans="1:5" x14ac:dyDescent="0.25">
      <c r="A1" s="1" t="s">
        <v>107</v>
      </c>
      <c r="B1" s="1"/>
      <c r="C1" s="1"/>
      <c r="D1" s="1"/>
      <c r="E1" s="1"/>
    </row>
    <row r="2" spans="1:5" x14ac:dyDescent="0.25">
      <c r="A2" s="5" t="s">
        <v>108</v>
      </c>
      <c r="B2" s="5"/>
      <c r="C2" s="5"/>
      <c r="D2" s="5"/>
      <c r="E2" s="5"/>
    </row>
    <row r="3" spans="2:3" x14ac:dyDescent="0.25">
      <c r="B3" s="3" t="s">
        <v>109</v>
      </c>
      <c r="C3" s="14">
        <f>'Kalkulation'!B13</f>
      </c>
    </row>
    <row r="4" spans="2:3" x14ac:dyDescent="0.25">
      <c r="B4" s="3" t="s">
        <v>110</v>
      </c>
      <c r="C4" s="17">
        <f>'Kalkulation'!C23</f>
      </c>
    </row>
    <row r="5" spans="2:3" x14ac:dyDescent="0.25">
      <c r="B5" s="3" t="s">
        <v>111</v>
      </c>
      <c r="C5" s="10">
        <f>'Kalkulation'!C28</f>
      </c>
    </row>
    <row r="7" ht="30" customHeight="1" spans="1:5" x14ac:dyDescent="0.25">
      <c r="A7" s="22" t="s">
        <v>112</v>
      </c>
      <c r="B7" s="22" t="s">
        <v>113</v>
      </c>
      <c r="C7" s="22" t="s">
        <v>114</v>
      </c>
      <c r="D7" s="22" t="s">
        <v>115</v>
      </c>
      <c r="E7" s="22" t="s">
        <v>116</v>
      </c>
    </row>
    <row r="8" spans="1:5" x14ac:dyDescent="0.25">
      <c r="A8" s="19">
        <f>'Eingaben'!B12</f>
      </c>
      <c r="B8" s="14">
        <f>$C$3</f>
      </c>
      <c r="C8" s="14">
        <f>IF(B8&lt;=0,0,IF(E8&gt;0,12*$C$5-D8,IFERROR(NPER($C$4/12,-$C$5,B8)*$C$5-B8,0)))</f>
      </c>
      <c r="D8" s="14">
        <f>B8-E8</f>
      </c>
      <c r="E8" s="14">
        <f>IF(B8&lt;=0,0,MAX(0,B8*(1+$C$4/12)^12-$C$5*(((1+$C$4/12)^12-1)/($C$4/12))))</f>
      </c>
    </row>
    <row r="9" spans="1:5" x14ac:dyDescent="0.25">
      <c r="A9" s="19">
        <f>A8+1</f>
      </c>
      <c r="B9" s="14">
        <f>E8</f>
      </c>
      <c r="C9" s="14">
        <f>IF(B9&lt;=0,0,IF(E9&gt;0,12*$C$5-D9,IFERROR(NPER($C$4/12,-$C$5,B9)*$C$5-B9,0)))</f>
      </c>
      <c r="D9" s="14">
        <f>B9-E9</f>
      </c>
      <c r="E9" s="14">
        <f>IF(B9&lt;=0,0,MAX(0,B9*(1+$C$4/12)^12-$C$5*(((1+$C$4/12)^12-1)/($C$4/12))))</f>
      </c>
    </row>
    <row r="10" spans="1:5" x14ac:dyDescent="0.25">
      <c r="A10" s="19">
        <f>A9+1</f>
      </c>
      <c r="B10" s="14">
        <f>E9</f>
      </c>
      <c r="C10" s="14">
        <f>IF(B10&lt;=0,0,IF(E10&gt;0,12*$C$5-D10,IFERROR(NPER($C$4/12,-$C$5,B10)*$C$5-B10,0)))</f>
      </c>
      <c r="D10" s="14">
        <f>B10-E10</f>
      </c>
      <c r="E10" s="14">
        <f>IF(B10&lt;=0,0,MAX(0,B10*(1+$C$4/12)^12-$C$5*(((1+$C$4/12)^12-1)/($C$4/12))))</f>
      </c>
    </row>
    <row r="11" spans="1:5" x14ac:dyDescent="0.25">
      <c r="A11" s="19">
        <f>A10+1</f>
      </c>
      <c r="B11" s="14">
        <f>E10</f>
      </c>
      <c r="C11" s="14">
        <f>IF(B11&lt;=0,0,IF(E11&gt;0,12*$C$5-D11,IFERROR(NPER($C$4/12,-$C$5,B11)*$C$5-B11,0)))</f>
      </c>
      <c r="D11" s="14">
        <f>B11-E11</f>
      </c>
      <c r="E11" s="14">
        <f>IF(B11&lt;=0,0,MAX(0,B11*(1+$C$4/12)^12-$C$5*(((1+$C$4/12)^12-1)/($C$4/12))))</f>
      </c>
    </row>
    <row r="12" spans="1:5" x14ac:dyDescent="0.25">
      <c r="A12" s="19">
        <f>A11+1</f>
      </c>
      <c r="B12" s="14">
        <f>E11</f>
      </c>
      <c r="C12" s="14">
        <f>IF(B12&lt;=0,0,IF(E12&gt;0,12*$C$5-D12,IFERROR(NPER($C$4/12,-$C$5,B12)*$C$5-B12,0)))</f>
      </c>
      <c r="D12" s="14">
        <f>B12-E12</f>
      </c>
      <c r="E12" s="14">
        <f>IF(B12&lt;=0,0,MAX(0,B12*(1+$C$4/12)^12-$C$5*(((1+$C$4/12)^12-1)/($C$4/12))))</f>
      </c>
    </row>
    <row r="13" spans="1:5" x14ac:dyDescent="0.25">
      <c r="A13" s="19">
        <f>A12+1</f>
      </c>
      <c r="B13" s="14">
        <f>E12</f>
      </c>
      <c r="C13" s="14">
        <f>IF(B13&lt;=0,0,IF(E13&gt;0,12*$C$5-D13,IFERROR(NPER($C$4/12,-$C$5,B13)*$C$5-B13,0)))</f>
      </c>
      <c r="D13" s="14">
        <f>B13-E13</f>
      </c>
      <c r="E13" s="14">
        <f>IF(B13&lt;=0,0,MAX(0,B13*(1+$C$4/12)^12-$C$5*(((1+$C$4/12)^12-1)/($C$4/12))))</f>
      </c>
    </row>
    <row r="14" spans="1:5" x14ac:dyDescent="0.25">
      <c r="A14" s="19">
        <f>A13+1</f>
      </c>
      <c r="B14" s="14">
        <f>E13</f>
      </c>
      <c r="C14" s="14">
        <f>IF(B14&lt;=0,0,IF(E14&gt;0,12*$C$5-D14,IFERROR(NPER($C$4/12,-$C$5,B14)*$C$5-B14,0)))</f>
      </c>
      <c r="D14" s="14">
        <f>B14-E14</f>
      </c>
      <c r="E14" s="14">
        <f>IF(B14&lt;=0,0,MAX(0,B14*(1+$C$4/12)^12-$C$5*(((1+$C$4/12)^12-1)/($C$4/12))))</f>
      </c>
    </row>
    <row r="15" spans="1:5" x14ac:dyDescent="0.25">
      <c r="A15" s="19">
        <f>A14+1</f>
      </c>
      <c r="B15" s="14">
        <f>E14</f>
      </c>
      <c r="C15" s="14">
        <f>IF(B15&lt;=0,0,IF(E15&gt;0,12*$C$5-D15,IFERROR(NPER($C$4/12,-$C$5,B15)*$C$5-B15,0)))</f>
      </c>
      <c r="D15" s="14">
        <f>B15-E15</f>
      </c>
      <c r="E15" s="14">
        <f>IF(B15&lt;=0,0,MAX(0,B15*(1+$C$4/12)^12-$C$5*(((1+$C$4/12)^12-1)/($C$4/12))))</f>
      </c>
    </row>
    <row r="16" spans="1:5" x14ac:dyDescent="0.25">
      <c r="A16" s="19">
        <f>A15+1</f>
      </c>
      <c r="B16" s="14">
        <f>E15</f>
      </c>
      <c r="C16" s="14">
        <f>IF(B16&lt;=0,0,IF(E16&gt;0,12*$C$5-D16,IFERROR(NPER($C$4/12,-$C$5,B16)*$C$5-B16,0)))</f>
      </c>
      <c r="D16" s="14">
        <f>B16-E16</f>
      </c>
      <c r="E16" s="14">
        <f>IF(B16&lt;=0,0,MAX(0,B16*(1+$C$4/12)^12-$C$5*(((1+$C$4/12)^12-1)/($C$4/12))))</f>
      </c>
    </row>
    <row r="17" spans="1:5" x14ac:dyDescent="0.25">
      <c r="A17" s="19">
        <f>A16+1</f>
      </c>
      <c r="B17" s="14">
        <f>E16</f>
      </c>
      <c r="C17" s="14">
        <f>IF(B17&lt;=0,0,IF(E17&gt;0,12*$C$5-D17,IFERROR(NPER($C$4/12,-$C$5,B17)*$C$5-B17,0)))</f>
      </c>
      <c r="D17" s="14">
        <f>B17-E17</f>
      </c>
      <c r="E17" s="14">
        <f>IF(B17&lt;=0,0,MAX(0,B17*(1+$C$4/12)^12-$C$5*(((1+$C$4/12)^12-1)/($C$4/12))))</f>
      </c>
    </row>
    <row r="18" spans="1:5" x14ac:dyDescent="0.25">
      <c r="A18" s="19">
        <f>A17+1</f>
      </c>
      <c r="B18" s="14">
        <f>E17</f>
      </c>
      <c r="C18" s="14">
        <f>IF(B18&lt;=0,0,IF(E18&gt;0,12*$C$5-D18,IFERROR(NPER($C$4/12,-$C$5,B18)*$C$5-B18,0)))</f>
      </c>
      <c r="D18" s="14">
        <f>B18-E18</f>
      </c>
      <c r="E18" s="14">
        <f>IF(B18&lt;=0,0,MAX(0,B18*(1+$C$4/12)^12-$C$5*(((1+$C$4/12)^12-1)/($C$4/12))))</f>
      </c>
    </row>
    <row r="19" spans="1:5" x14ac:dyDescent="0.25">
      <c r="A19" s="19">
        <f>A18+1</f>
      </c>
      <c r="B19" s="14">
        <f>E18</f>
      </c>
      <c r="C19" s="14">
        <f>IF(B19&lt;=0,0,IF(E19&gt;0,12*$C$5-D19,IFERROR(NPER($C$4/12,-$C$5,B19)*$C$5-B19,0)))</f>
      </c>
      <c r="D19" s="14">
        <f>B19-E19</f>
      </c>
      <c r="E19" s="14">
        <f>IF(B19&lt;=0,0,MAX(0,B19*(1+$C$4/12)^12-$C$5*(((1+$C$4/12)^12-1)/($C$4/12))))</f>
      </c>
    </row>
    <row r="20" spans="1:5" x14ac:dyDescent="0.25">
      <c r="A20" s="19">
        <f>A19+1</f>
      </c>
      <c r="B20" s="14">
        <f>E19</f>
      </c>
      <c r="C20" s="14">
        <f>IF(B20&lt;=0,0,IF(E20&gt;0,12*$C$5-D20,IFERROR(NPER($C$4/12,-$C$5,B20)*$C$5-B20,0)))</f>
      </c>
      <c r="D20" s="14">
        <f>B20-E20</f>
      </c>
      <c r="E20" s="14">
        <f>IF(B20&lt;=0,0,MAX(0,B20*(1+$C$4/12)^12-$C$5*(((1+$C$4/12)^12-1)/($C$4/12))))</f>
      </c>
    </row>
    <row r="21" spans="1:5" x14ac:dyDescent="0.25">
      <c r="A21" s="19">
        <f>A20+1</f>
      </c>
      <c r="B21" s="14">
        <f>E20</f>
      </c>
      <c r="C21" s="14">
        <f>IF(B21&lt;=0,0,IF(E21&gt;0,12*$C$5-D21,IFERROR(NPER($C$4/12,-$C$5,B21)*$C$5-B21,0)))</f>
      </c>
      <c r="D21" s="14">
        <f>B21-E21</f>
      </c>
      <c r="E21" s="14">
        <f>IF(B21&lt;=0,0,MAX(0,B21*(1+$C$4/12)^12-$C$5*(((1+$C$4/12)^12-1)/($C$4/12))))</f>
      </c>
    </row>
    <row r="22" spans="1:5" x14ac:dyDescent="0.25">
      <c r="A22" s="19">
        <f>A21+1</f>
      </c>
      <c r="B22" s="14">
        <f>E21</f>
      </c>
      <c r="C22" s="14">
        <f>IF(B22&lt;=0,0,IF(E22&gt;0,12*$C$5-D22,IFERROR(NPER($C$4/12,-$C$5,B22)*$C$5-B22,0)))</f>
      </c>
      <c r="D22" s="14">
        <f>B22-E22</f>
      </c>
      <c r="E22" s="14">
        <f>IF(B22&lt;=0,0,MAX(0,B22*(1+$C$4/12)^12-$C$5*(((1+$C$4/12)^12-1)/($C$4/12))))</f>
      </c>
    </row>
    <row r="23" spans="1:5" x14ac:dyDescent="0.25">
      <c r="A23" s="19">
        <f>A22+1</f>
      </c>
      <c r="B23" s="14">
        <f>E22</f>
      </c>
      <c r="C23" s="14">
        <f>IF(B23&lt;=0,0,IF(E23&gt;0,12*$C$5-D23,IFERROR(NPER($C$4/12,-$C$5,B23)*$C$5-B23,0)))</f>
      </c>
      <c r="D23" s="14">
        <f>B23-E23</f>
      </c>
      <c r="E23" s="14">
        <f>IF(B23&lt;=0,0,MAX(0,B23*(1+$C$4/12)^12-$C$5*(((1+$C$4/12)^12-1)/($C$4/12))))</f>
      </c>
    </row>
    <row r="24" spans="1:5" x14ac:dyDescent="0.25">
      <c r="A24" s="19">
        <f>A23+1</f>
      </c>
      <c r="B24" s="14">
        <f>E23</f>
      </c>
      <c r="C24" s="14">
        <f>IF(B24&lt;=0,0,IF(E24&gt;0,12*$C$5-D24,IFERROR(NPER($C$4/12,-$C$5,B24)*$C$5-B24,0)))</f>
      </c>
      <c r="D24" s="14">
        <f>B24-E24</f>
      </c>
      <c r="E24" s="14">
        <f>IF(B24&lt;=0,0,MAX(0,B24*(1+$C$4/12)^12-$C$5*(((1+$C$4/12)^12-1)/($C$4/12))))</f>
      </c>
    </row>
    <row r="25" spans="1:5" x14ac:dyDescent="0.25">
      <c r="A25" s="19">
        <f>A24+1</f>
      </c>
      <c r="B25" s="14">
        <f>E24</f>
      </c>
      <c r="C25" s="14">
        <f>IF(B25&lt;=0,0,IF(E25&gt;0,12*$C$5-D25,IFERROR(NPER($C$4/12,-$C$5,B25)*$C$5-B25,0)))</f>
      </c>
      <c r="D25" s="14">
        <f>B25-E25</f>
      </c>
      <c r="E25" s="14">
        <f>IF(B25&lt;=0,0,MAX(0,B25*(1+$C$4/12)^12-$C$5*(((1+$C$4/12)^12-1)/($C$4/12))))</f>
      </c>
    </row>
    <row r="26" spans="1:5" x14ac:dyDescent="0.25">
      <c r="A26" s="19">
        <f>A25+1</f>
      </c>
      <c r="B26" s="14">
        <f>E25</f>
      </c>
      <c r="C26" s="14">
        <f>IF(B26&lt;=0,0,IF(E26&gt;0,12*$C$5-D26,IFERROR(NPER($C$4/12,-$C$5,B26)*$C$5-B26,0)))</f>
      </c>
      <c r="D26" s="14">
        <f>B26-E26</f>
      </c>
      <c r="E26" s="14">
        <f>IF(B26&lt;=0,0,MAX(0,B26*(1+$C$4/12)^12-$C$5*(((1+$C$4/12)^12-1)/($C$4/12))))</f>
      </c>
    </row>
    <row r="27" spans="1:5" x14ac:dyDescent="0.25">
      <c r="A27" s="19">
        <f>A26+1</f>
      </c>
      <c r="B27" s="14">
        <f>E26</f>
      </c>
      <c r="C27" s="14">
        <f>IF(B27&lt;=0,0,IF(E27&gt;0,12*$C$5-D27,IFERROR(NPER($C$4/12,-$C$5,B27)*$C$5-B27,0)))</f>
      </c>
      <c r="D27" s="14">
        <f>B27-E27</f>
      </c>
      <c r="E27" s="14">
        <f>IF(B27&lt;=0,0,MAX(0,B27*(1+$C$4/12)^12-$C$5*(((1+$C$4/12)^12-1)/($C$4/12))))</f>
      </c>
    </row>
    <row r="28" spans="1:5" x14ac:dyDescent="0.25">
      <c r="A28" s="19">
        <f>A27+1</f>
      </c>
      <c r="B28" s="14">
        <f>E27</f>
      </c>
      <c r="C28" s="14">
        <f>IF(B28&lt;=0,0,IF(E28&gt;0,12*$C$5-D28,IFERROR(NPER($C$4/12,-$C$5,B28)*$C$5-B28,0)))</f>
      </c>
      <c r="D28" s="14">
        <f>B28-E28</f>
      </c>
      <c r="E28" s="14">
        <f>IF(B28&lt;=0,0,MAX(0,B28*(1+$C$4/12)^12-$C$5*(((1+$C$4/12)^12-1)/($C$4/12))))</f>
      </c>
    </row>
    <row r="29" spans="1:5" x14ac:dyDescent="0.25">
      <c r="A29" s="19">
        <f>A28+1</f>
      </c>
      <c r="B29" s="14">
        <f>E28</f>
      </c>
      <c r="C29" s="14">
        <f>IF(B29&lt;=0,0,IF(E29&gt;0,12*$C$5-D29,IFERROR(NPER($C$4/12,-$C$5,B29)*$C$5-B29,0)))</f>
      </c>
      <c r="D29" s="14">
        <f>B29-E29</f>
      </c>
      <c r="E29" s="14">
        <f>IF(B29&lt;=0,0,MAX(0,B29*(1+$C$4/12)^12-$C$5*(((1+$C$4/12)^12-1)/($C$4/12))))</f>
      </c>
    </row>
    <row r="30" spans="1:5" x14ac:dyDescent="0.25">
      <c r="A30" s="19">
        <f>A29+1</f>
      </c>
      <c r="B30" s="14">
        <f>E29</f>
      </c>
      <c r="C30" s="14">
        <f>IF(B30&lt;=0,0,IF(E30&gt;0,12*$C$5-D30,IFERROR(NPER($C$4/12,-$C$5,B30)*$C$5-B30,0)))</f>
      </c>
      <c r="D30" s="14">
        <f>B30-E30</f>
      </c>
      <c r="E30" s="14">
        <f>IF(B30&lt;=0,0,MAX(0,B30*(1+$C$4/12)^12-$C$5*(((1+$C$4/12)^12-1)/($C$4/12))))</f>
      </c>
    </row>
    <row r="31" spans="1:5" x14ac:dyDescent="0.25">
      <c r="A31" s="19">
        <f>A30+1</f>
      </c>
      <c r="B31" s="14">
        <f>E30</f>
      </c>
      <c r="C31" s="14">
        <f>IF(B31&lt;=0,0,IF(E31&gt;0,12*$C$5-D31,IFERROR(NPER($C$4/12,-$C$5,B31)*$C$5-B31,0)))</f>
      </c>
      <c r="D31" s="14">
        <f>B31-E31</f>
      </c>
      <c r="E31" s="14">
        <f>IF(B31&lt;=0,0,MAX(0,B31*(1+$C$4/12)^12-$C$5*(((1+$C$4/12)^12-1)/($C$4/12))))</f>
      </c>
    </row>
    <row r="32" spans="1:5" x14ac:dyDescent="0.25">
      <c r="A32" s="19">
        <f>A31+1</f>
      </c>
      <c r="B32" s="14">
        <f>E31</f>
      </c>
      <c r="C32" s="14">
        <f>IF(B32&lt;=0,0,IF(E32&gt;0,12*$C$5-D32,IFERROR(NPER($C$4/12,-$C$5,B32)*$C$5-B32,0)))</f>
      </c>
      <c r="D32" s="14">
        <f>B32-E32</f>
      </c>
      <c r="E32" s="14">
        <f>IF(B32&lt;=0,0,MAX(0,B32*(1+$C$4/12)^12-$C$5*(((1+$C$4/12)^12-1)/($C$4/12))))</f>
      </c>
    </row>
    <row r="33" spans="1:5" x14ac:dyDescent="0.25">
      <c r="A33" s="19">
        <f>A32+1</f>
      </c>
      <c r="B33" s="14">
        <f>E32</f>
      </c>
      <c r="C33" s="14">
        <f>IF(B33&lt;=0,0,IF(E33&gt;0,12*$C$5-D33,IFERROR(NPER($C$4/12,-$C$5,B33)*$C$5-B33,0)))</f>
      </c>
      <c r="D33" s="14">
        <f>B33-E33</f>
      </c>
      <c r="E33" s="14">
        <f>IF(B33&lt;=0,0,MAX(0,B33*(1+$C$4/12)^12-$C$5*(((1+$C$4/12)^12-1)/($C$4/12))))</f>
      </c>
    </row>
    <row r="34" spans="1:5" x14ac:dyDescent="0.25">
      <c r="A34" s="19">
        <f>A33+1</f>
      </c>
      <c r="B34" s="14">
        <f>E33</f>
      </c>
      <c r="C34" s="14">
        <f>IF(B34&lt;=0,0,IF(E34&gt;0,12*$C$5-D34,IFERROR(NPER($C$4/12,-$C$5,B34)*$C$5-B34,0)))</f>
      </c>
      <c r="D34" s="14">
        <f>B34-E34</f>
      </c>
      <c r="E34" s="14">
        <f>IF(B34&lt;=0,0,MAX(0,B34*(1+$C$4/12)^12-$C$5*(((1+$C$4/12)^12-1)/($C$4/12))))</f>
      </c>
    </row>
    <row r="35" spans="1:5" x14ac:dyDescent="0.25">
      <c r="A35" s="19">
        <f>A34+1</f>
      </c>
      <c r="B35" s="14">
        <f>E34</f>
      </c>
      <c r="C35" s="14">
        <f>IF(B35&lt;=0,0,IF(E35&gt;0,12*$C$5-D35,IFERROR(NPER($C$4/12,-$C$5,B35)*$C$5-B35,0)))</f>
      </c>
      <c r="D35" s="14">
        <f>B35-E35</f>
      </c>
      <c r="E35" s="14">
        <f>IF(B35&lt;=0,0,MAX(0,B35*(1+$C$4/12)^12-$C$5*(((1+$C$4/12)^12-1)/($C$4/12))))</f>
      </c>
    </row>
    <row r="36" spans="1:5" x14ac:dyDescent="0.25">
      <c r="A36" s="19">
        <f>A35+1</f>
      </c>
      <c r="B36" s="14">
        <f>E35</f>
      </c>
      <c r="C36" s="14">
        <f>IF(B36&lt;=0,0,IF(E36&gt;0,12*$C$5-D36,IFERROR(NPER($C$4/12,-$C$5,B36)*$C$5-B36,0)))</f>
      </c>
      <c r="D36" s="14">
        <f>B36-E36</f>
      </c>
      <c r="E36" s="14">
        <f>IF(B36&lt;=0,0,MAX(0,B36*(1+$C$4/12)^12-$C$5*(((1+$C$4/12)^12-1)/($C$4/12))))</f>
      </c>
    </row>
    <row r="37" spans="1:5" x14ac:dyDescent="0.25">
      <c r="A37" s="19">
        <f>A36+1</f>
      </c>
      <c r="B37" s="14">
        <f>E36</f>
      </c>
      <c r="C37" s="14">
        <f>IF(B37&lt;=0,0,IF(E37&gt;0,12*$C$5-D37,IFERROR(NPER($C$4/12,-$C$5,B37)*$C$5-B37,0)))</f>
      </c>
      <c r="D37" s="14">
        <f>B37-E37</f>
      </c>
      <c r="E37" s="14">
        <f>IF(B37&lt;=0,0,MAX(0,B37*(1+$C$4/12)^12-$C$5*(((1+$C$4/12)^12-1)/($C$4/12))))</f>
      </c>
    </row>
    <row r="38" spans="1:5" x14ac:dyDescent="0.25">
      <c r="A38" s="19">
        <f>A37+1</f>
      </c>
      <c r="B38" s="14">
        <f>E37</f>
      </c>
      <c r="C38" s="14">
        <f>IF(B38&lt;=0,0,IF(E38&gt;0,12*$C$5-D38,IFERROR(NPER($C$4/12,-$C$5,B38)*$C$5-B38,0)))</f>
      </c>
      <c r="D38" s="14">
        <f>B38-E38</f>
      </c>
      <c r="E38" s="14">
        <f>IF(B38&lt;=0,0,MAX(0,B38*(1+$C$4/12)^12-$C$5*(((1+$C$4/12)^12-1)/($C$4/12))))</f>
      </c>
    </row>
    <row r="39" spans="1:5" x14ac:dyDescent="0.25">
      <c r="A39" s="19">
        <f>A38+1</f>
      </c>
      <c r="B39" s="14">
        <f>E38</f>
      </c>
      <c r="C39" s="14">
        <f>IF(B39&lt;=0,0,IF(E39&gt;0,12*$C$5-D39,IFERROR(NPER($C$4/12,-$C$5,B39)*$C$5-B39,0)))</f>
      </c>
      <c r="D39" s="14">
        <f>B39-E39</f>
      </c>
      <c r="E39" s="14">
        <f>IF(B39&lt;=0,0,MAX(0,B39*(1+$C$4/12)^12-$C$5*(((1+$C$4/12)^12-1)/($C$4/12))))</f>
      </c>
    </row>
    <row r="40" spans="1:5" x14ac:dyDescent="0.25">
      <c r="A40" s="19">
        <f>A39+1</f>
      </c>
      <c r="B40" s="14">
        <f>E39</f>
      </c>
      <c r="C40" s="14">
        <f>IF(B40&lt;=0,0,IF(E40&gt;0,12*$C$5-D40,IFERROR(NPER($C$4/12,-$C$5,B40)*$C$5-B40,0)))</f>
      </c>
      <c r="D40" s="14">
        <f>B40-E40</f>
      </c>
      <c r="E40" s="14">
        <f>IF(B40&lt;=0,0,MAX(0,B40*(1+$C$4/12)^12-$C$5*(((1+$C$4/12)^12-1)/($C$4/12))))</f>
      </c>
    </row>
    <row r="41" spans="1:5" x14ac:dyDescent="0.25">
      <c r="A41" s="19">
        <f>A40+1</f>
      </c>
      <c r="B41" s="14">
        <f>E40</f>
      </c>
      <c r="C41" s="14">
        <f>IF(B41&lt;=0,0,IF(E41&gt;0,12*$C$5-D41,IFERROR(NPER($C$4/12,-$C$5,B41)*$C$5-B41,0)))</f>
      </c>
      <c r="D41" s="14">
        <f>B41-E41</f>
      </c>
      <c r="E41" s="14">
        <f>IF(B41&lt;=0,0,MAX(0,B41*(1+$C$4/12)^12-$C$5*(((1+$C$4/12)^12-1)/($C$4/12))))</f>
      </c>
    </row>
    <row r="42" spans="1:5" x14ac:dyDescent="0.25">
      <c r="A42" s="19">
        <f>A41+1</f>
      </c>
      <c r="B42" s="14">
        <f>E41</f>
      </c>
      <c r="C42" s="14">
        <f>IF(B42&lt;=0,0,IF(E42&gt;0,12*$C$5-D42,IFERROR(NPER($C$4/12,-$C$5,B42)*$C$5-B42,0)))</f>
      </c>
      <c r="D42" s="14">
        <f>B42-E42</f>
      </c>
      <c r="E42" s="14">
        <f>IF(B42&lt;=0,0,MAX(0,B42*(1+$C$4/12)^12-$C$5*(((1+$C$4/12)^12-1)/($C$4/12))))</f>
      </c>
    </row>
    <row r="43" spans="1:5" x14ac:dyDescent="0.25">
      <c r="A43" s="19">
        <f>A42+1</f>
      </c>
      <c r="B43" s="14">
        <f>E42</f>
      </c>
      <c r="C43" s="14">
        <f>IF(B43&lt;=0,0,IF(E43&gt;0,12*$C$5-D43,IFERROR(NPER($C$4/12,-$C$5,B43)*$C$5-B43,0)))</f>
      </c>
      <c r="D43" s="14">
        <f>B43-E43</f>
      </c>
      <c r="E43" s="14">
        <f>IF(B43&lt;=0,0,MAX(0,B43*(1+$C$4/12)^12-$C$5*(((1+$C$4/12)^12-1)/($C$4/12))))</f>
      </c>
    </row>
    <row r="44" spans="1:5" x14ac:dyDescent="0.25">
      <c r="A44" s="19">
        <f>A43+1</f>
      </c>
      <c r="B44" s="14">
        <f>E43</f>
      </c>
      <c r="C44" s="14">
        <f>IF(B44&lt;=0,0,IF(E44&gt;0,12*$C$5-D44,IFERROR(NPER($C$4/12,-$C$5,B44)*$C$5-B44,0)))</f>
      </c>
      <c r="D44" s="14">
        <f>B44-E44</f>
      </c>
      <c r="E44" s="14">
        <f>IF(B44&lt;=0,0,MAX(0,B44*(1+$C$4/12)^12-$C$5*(((1+$C$4/12)^12-1)/($C$4/12))))</f>
      </c>
    </row>
    <row r="45" spans="1:5" x14ac:dyDescent="0.25">
      <c r="A45" s="19">
        <f>A44+1</f>
      </c>
      <c r="B45" s="14">
        <f>E44</f>
      </c>
      <c r="C45" s="14">
        <f>IF(B45&lt;=0,0,IF(E45&gt;0,12*$C$5-D45,IFERROR(NPER($C$4/12,-$C$5,B45)*$C$5-B45,0)))</f>
      </c>
      <c r="D45" s="14">
        <f>B45-E45</f>
      </c>
      <c r="E45" s="14">
        <f>IF(B45&lt;=0,0,MAX(0,B45*(1+$C$4/12)^12-$C$5*(((1+$C$4/12)^12-1)/($C$4/12))))</f>
      </c>
    </row>
    <row r="46" spans="1:5" x14ac:dyDescent="0.25">
      <c r="A46" s="19">
        <f>A45+1</f>
      </c>
      <c r="B46" s="14">
        <f>E45</f>
      </c>
      <c r="C46" s="14">
        <f>IF(B46&lt;=0,0,IF(E46&gt;0,12*$C$5-D46,IFERROR(NPER($C$4/12,-$C$5,B46)*$C$5-B46,0)))</f>
      </c>
      <c r="D46" s="14">
        <f>B46-E46</f>
      </c>
      <c r="E46" s="14">
        <f>IF(B46&lt;=0,0,MAX(0,B46*(1+$C$4/12)^12-$C$5*(((1+$C$4/12)^12-1)/($C$4/12))))</f>
      </c>
    </row>
    <row r="47" spans="1:5" x14ac:dyDescent="0.25">
      <c r="A47" s="19">
        <f>A46+1</f>
      </c>
      <c r="B47" s="14">
        <f>E46</f>
      </c>
      <c r="C47" s="14">
        <f>IF(B47&lt;=0,0,IF(E47&gt;0,12*$C$5-D47,IFERROR(NPER($C$4/12,-$C$5,B47)*$C$5-B47,0)))</f>
      </c>
      <c r="D47" s="14">
        <f>B47-E47</f>
      </c>
      <c r="E47" s="14">
        <f>IF(B47&lt;=0,0,MAX(0,B47*(1+$C$4/12)^12-$C$5*(((1+$C$4/12)^12-1)/($C$4/12))))</f>
      </c>
    </row>
  </sheetData>
  <mergeCells count="2">
    <mergeCell ref="A1:E1"/>
    <mergeCell ref="A2:E2"/>
  </mergeCells>
  <conditionalFormatting sqref="A8:E47">
    <cfRule type="expression" dxfId="0" priority="1">
      <formula>$B8&lt;=0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1:A59"/>
  <sheetFormatPr defaultRowHeight="15" outlineLevelRow="0" outlineLevelCol="0" x14ac:dyDescent="55"/>
  <cols>
    <col min="1" max="1" width="130" customWidth="1"/>
  </cols>
  <sheetData>
    <row r="1" ht="24" customHeight="1" spans="1:1" x14ac:dyDescent="0.25">
      <c r="A1" s="1" t="s">
        <v>117</v>
      </c>
    </row>
    <row r="3" spans="1:1" x14ac:dyDescent="0.25">
      <c r="A3" s="2" t="s">
        <v>118</v>
      </c>
    </row>
    <row r="4" spans="1:1" x14ac:dyDescent="0.25">
      <c r="A4" s="3" t="s">
        <v>119</v>
      </c>
    </row>
    <row r="5" spans="1:1" x14ac:dyDescent="0.25">
      <c r="A5" s="3" t="s">
        <v>120</v>
      </c>
    </row>
    <row r="6" spans="1:1" x14ac:dyDescent="0.25">
      <c r="A6" s="3" t="s">
        <v>121</v>
      </c>
    </row>
    <row r="7" spans="1:1" x14ac:dyDescent="0.25">
      <c r="A7" s="3" t="s">
        <v>30</v>
      </c>
    </row>
    <row r="8" spans="1:1" x14ac:dyDescent="0.25">
      <c r="A8" s="2" t="s">
        <v>122</v>
      </c>
    </row>
    <row r="9" spans="1:1" x14ac:dyDescent="0.25">
      <c r="A9" s="3" t="s">
        <v>123</v>
      </c>
    </row>
    <row r="10" spans="1:1" x14ac:dyDescent="0.25">
      <c r="A10" s="3" t="s">
        <v>124</v>
      </c>
    </row>
    <row r="11" spans="1:1" x14ac:dyDescent="0.25">
      <c r="A11" s="3" t="s">
        <v>125</v>
      </c>
    </row>
    <row r="12" spans="1:1" x14ac:dyDescent="0.25">
      <c r="A12" s="3" t="s">
        <v>126</v>
      </c>
    </row>
    <row r="13" spans="1:1" x14ac:dyDescent="0.25">
      <c r="A13" s="3" t="s">
        <v>30</v>
      </c>
    </row>
    <row r="14" spans="1:1" x14ac:dyDescent="0.25">
      <c r="A14" s="2" t="s">
        <v>127</v>
      </c>
    </row>
    <row r="15" spans="1:1" x14ac:dyDescent="0.25">
      <c r="A15" s="3" t="s">
        <v>128</v>
      </c>
    </row>
    <row r="16" spans="1:1" x14ac:dyDescent="0.25">
      <c r="A16" s="3" t="s">
        <v>129</v>
      </c>
    </row>
    <row r="17" spans="1:1" x14ac:dyDescent="0.25">
      <c r="A17" s="3" t="s">
        <v>130</v>
      </c>
    </row>
    <row r="18" spans="1:1" x14ac:dyDescent="0.25">
      <c r="A18" s="3" t="s">
        <v>30</v>
      </c>
    </row>
    <row r="19" spans="1:1" x14ac:dyDescent="0.25">
      <c r="A19" s="2" t="s">
        <v>131</v>
      </c>
    </row>
    <row r="20" spans="1:1" x14ac:dyDescent="0.25">
      <c r="A20" s="3" t="s">
        <v>132</v>
      </c>
    </row>
    <row r="21" spans="1:1" x14ac:dyDescent="0.25">
      <c r="A21" s="3" t="s">
        <v>133</v>
      </c>
    </row>
    <row r="22" spans="1:1" x14ac:dyDescent="0.25">
      <c r="A22" s="3" t="s">
        <v>134</v>
      </c>
    </row>
    <row r="23" spans="1:1" x14ac:dyDescent="0.25">
      <c r="A23" s="3" t="s">
        <v>30</v>
      </c>
    </row>
    <row r="24" spans="1:1" x14ac:dyDescent="0.25">
      <c r="A24" s="2" t="s">
        <v>135</v>
      </c>
    </row>
    <row r="25" spans="1:1" x14ac:dyDescent="0.25">
      <c r="A25" s="3" t="s">
        <v>136</v>
      </c>
    </row>
    <row r="26" spans="1:1" x14ac:dyDescent="0.25">
      <c r="A26" s="3" t="s">
        <v>137</v>
      </c>
    </row>
    <row r="27" spans="1:1" x14ac:dyDescent="0.25">
      <c r="A27" s="3" t="s">
        <v>138</v>
      </c>
    </row>
    <row r="28" spans="1:1" x14ac:dyDescent="0.25">
      <c r="A28" s="3" t="s">
        <v>30</v>
      </c>
    </row>
    <row r="29" spans="1:1" x14ac:dyDescent="0.25">
      <c r="A29" s="2" t="s">
        <v>139</v>
      </c>
    </row>
    <row r="30" spans="1:1" x14ac:dyDescent="0.25">
      <c r="A30" s="3" t="s">
        <v>140</v>
      </c>
    </row>
    <row r="31" spans="1:1" x14ac:dyDescent="0.25">
      <c r="A31" s="3" t="s">
        <v>141</v>
      </c>
    </row>
    <row r="32" spans="1:1" x14ac:dyDescent="0.25">
      <c r="A32" s="3" t="s">
        <v>142</v>
      </c>
    </row>
    <row r="33" spans="1:1" x14ac:dyDescent="0.25">
      <c r="A33" s="3" t="s">
        <v>143</v>
      </c>
    </row>
    <row r="34" spans="1:1" x14ac:dyDescent="0.25">
      <c r="A34" s="3" t="s">
        <v>144</v>
      </c>
    </row>
    <row r="35" spans="1:1" x14ac:dyDescent="0.25">
      <c r="A35" s="3" t="s">
        <v>145</v>
      </c>
    </row>
    <row r="36" spans="1:1" x14ac:dyDescent="0.25">
      <c r="A36" s="3" t="s">
        <v>146</v>
      </c>
    </row>
    <row r="37" spans="1:1" x14ac:dyDescent="0.25">
      <c r="A37" s="3" t="s">
        <v>147</v>
      </c>
    </row>
    <row r="38" spans="1:1" x14ac:dyDescent="0.25">
      <c r="A38" s="3" t="s">
        <v>30</v>
      </c>
    </row>
    <row r="39" spans="1:1" x14ac:dyDescent="0.25">
      <c r="A39" s="2" t="s">
        <v>148</v>
      </c>
    </row>
    <row r="40" spans="1:1" x14ac:dyDescent="0.25">
      <c r="A40" s="3" t="s">
        <v>149</v>
      </c>
    </row>
    <row r="41" spans="1:1" x14ac:dyDescent="0.25">
      <c r="A41" s="3" t="s">
        <v>150</v>
      </c>
    </row>
    <row r="42" spans="1:1" x14ac:dyDescent="0.25">
      <c r="A42" s="3" t="s">
        <v>151</v>
      </c>
    </row>
    <row r="43" spans="1:1" x14ac:dyDescent="0.25">
      <c r="A43" s="3" t="s">
        <v>152</v>
      </c>
    </row>
    <row r="44" spans="1:1" x14ac:dyDescent="0.25">
      <c r="A44" s="3" t="s">
        <v>30</v>
      </c>
    </row>
    <row r="45" spans="1:1" x14ac:dyDescent="0.25">
      <c r="A45" s="2" t="s">
        <v>153</v>
      </c>
    </row>
    <row r="46" spans="1:1" x14ac:dyDescent="0.25">
      <c r="A46" s="3" t="s">
        <v>154</v>
      </c>
    </row>
    <row r="47" spans="1:1" x14ac:dyDescent="0.25">
      <c r="A47" s="3" t="s">
        <v>155</v>
      </c>
    </row>
    <row r="48" spans="1:1" x14ac:dyDescent="0.25">
      <c r="A48" s="3" t="s">
        <v>156</v>
      </c>
    </row>
    <row r="49" spans="1:1" x14ac:dyDescent="0.25">
      <c r="A49" s="3" t="s">
        <v>157</v>
      </c>
    </row>
    <row r="50" spans="1:1" x14ac:dyDescent="0.25">
      <c r="A50" s="3" t="s">
        <v>30</v>
      </c>
    </row>
    <row r="51" spans="1:1" x14ac:dyDescent="0.25">
      <c r="A51" s="2" t="s">
        <v>158</v>
      </c>
    </row>
    <row r="52" spans="1:1" x14ac:dyDescent="0.25">
      <c r="A52" s="3" t="s">
        <v>159</v>
      </c>
    </row>
    <row r="53" spans="1:1" x14ac:dyDescent="0.25">
      <c r="A53" s="3" t="s">
        <v>160</v>
      </c>
    </row>
    <row r="54" spans="1:1" x14ac:dyDescent="0.25">
      <c r="A54" s="3" t="s">
        <v>161</v>
      </c>
    </row>
    <row r="55" spans="1:1" x14ac:dyDescent="0.25">
      <c r="A55" s="3" t="s">
        <v>162</v>
      </c>
    </row>
    <row r="56" spans="1:1" x14ac:dyDescent="0.25">
      <c r="A56" s="3" t="s">
        <v>30</v>
      </c>
    </row>
    <row r="57" spans="1:1" x14ac:dyDescent="0.25">
      <c r="A57" s="2" t="s">
        <v>163</v>
      </c>
    </row>
    <row r="58" spans="1:1" x14ac:dyDescent="0.25">
      <c r="A58" s="3" t="s">
        <v>164</v>
      </c>
    </row>
    <row r="59" spans="1:1" x14ac:dyDescent="0.25">
      <c r="A59" s="3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Eingaben</vt:lpstr>
      <vt:lpstr>Einnahmen</vt:lpstr>
      <vt:lpstr>Ausgaben</vt:lpstr>
      <vt:lpstr>Vermögen</vt:lpstr>
      <vt:lpstr>Kalkulation</vt:lpstr>
      <vt:lpstr>Tilgungsplan</vt:lpstr>
      <vt:lpstr>Erläuterungen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Hauskauf-Kalkulation</dc:creator>
  <dc:title/>
  <dc:subject/>
  <dc:description/>
  <cp:keywords/>
  <cp:category/>
  <cp:lastModifiedBy>Unknown</cp:lastModifiedBy>
  <dcterms:created xsi:type="dcterms:W3CDTF">2026-07-18T17:59:42Z</dcterms:created>
  <dcterms:modified xsi:type="dcterms:W3CDTF">2026-07-18T17:59:42Z</dcterms:modified>
</cp:coreProperties>
</file>